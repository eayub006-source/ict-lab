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b25f1061ai100_paf-iast_edu_pk/Documents/Pictures/Screenshots/"/>
    </mc:Choice>
  </mc:AlternateContent>
  <xr:revisionPtr revIDLastSave="172" documentId="8_{E8BFCD9C-55DB-4936-BB89-09EFA6ADFF68}" xr6:coauthVersionLast="47" xr6:coauthVersionMax="47" xr10:uidLastSave="{B7D85B0A-93F8-4CFD-8618-9C25A33F4848}"/>
  <bookViews>
    <workbookView xWindow="-108" yWindow="-108" windowWidth="23256" windowHeight="12456" activeTab="1" xr2:uid="{8CE88769-8C7E-4D84-9E59-38D9E500A7C5}"/>
  </bookViews>
  <sheets>
    <sheet name="Sheet1" sheetId="1" r:id="rId1"/>
    <sheet name="pivot tables" sheetId="3" r:id="rId2"/>
  </sheets>
  <definedNames>
    <definedName name="_xlcn.WorksheetConnection_Sheet1A3M131" hidden="1">Sheet1!$A$3:$M$13</definedName>
  </definedName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3:$M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M5" i="1"/>
  <c r="V7" i="1"/>
  <c r="V6" i="1"/>
  <c r="V5" i="1"/>
  <c r="V4" i="1"/>
  <c r="R7" i="1"/>
  <c r="R6" i="1"/>
  <c r="R4" i="1"/>
  <c r="O8" i="1"/>
  <c r="O6" i="1"/>
  <c r="M6" i="1"/>
  <c r="M7" i="1"/>
  <c r="M8" i="1"/>
  <c r="M9" i="1"/>
  <c r="M10" i="1"/>
  <c r="M11" i="1"/>
  <c r="M12" i="1"/>
  <c r="M13" i="1"/>
  <c r="L6" i="1"/>
  <c r="L7" i="1"/>
  <c r="L8" i="1"/>
  <c r="L9" i="1"/>
  <c r="L10" i="1"/>
  <c r="L11" i="1"/>
  <c r="L12" i="1"/>
  <c r="L13" i="1"/>
  <c r="K6" i="1"/>
  <c r="K7" i="1"/>
  <c r="K8" i="1"/>
  <c r="K9" i="1"/>
  <c r="K10" i="1"/>
  <c r="K11" i="1"/>
  <c r="K12" i="1"/>
  <c r="K13" i="1"/>
  <c r="M4" i="1" l="1"/>
  <c r="O4" i="1"/>
  <c r="O10" i="1"/>
  <c r="L5" i="1"/>
  <c r="R5" i="1"/>
  <c r="O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A4DF4-F431-4ECD-A4F2-1EFE67952F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EFBDC4-249F-4434-A159-E02C339C7F03}" name="WorksheetConnection_Sheet1!$A$3:$M$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3M131"/>
        </x15:connection>
      </ext>
    </extLst>
  </connection>
</connections>
</file>

<file path=xl/sharedStrings.xml><?xml version="1.0" encoding="utf-8"?>
<sst xmlns="http://schemas.openxmlformats.org/spreadsheetml/2006/main" count="86" uniqueCount="68">
  <si>
    <t>Hospital Report</t>
  </si>
  <si>
    <t>Patient ID</t>
  </si>
  <si>
    <t>Name</t>
  </si>
  <si>
    <t>Age</t>
  </si>
  <si>
    <t>Department</t>
  </si>
  <si>
    <t>Diagnosis</t>
  </si>
  <si>
    <t>Treatment Score</t>
  </si>
  <si>
    <t>Days Admitted</t>
  </si>
  <si>
    <t>Lab Tests Done</t>
  </si>
  <si>
    <t>Doctor Consults</t>
  </si>
  <si>
    <t>Follow-up Visits</t>
  </si>
  <si>
    <t>P001</t>
  </si>
  <si>
    <t>Aisha Khan</t>
  </si>
  <si>
    <t>Cardiology</t>
  </si>
  <si>
    <t>Hypertension</t>
  </si>
  <si>
    <t>P002</t>
  </si>
  <si>
    <t>Bilal Ahmed</t>
  </si>
  <si>
    <t>Orthopedics</t>
  </si>
  <si>
    <t>Fracture</t>
  </si>
  <si>
    <t>P003</t>
  </si>
  <si>
    <t>Sara Riaz</t>
  </si>
  <si>
    <t>Gynecology</t>
  </si>
  <si>
    <t>Anemia</t>
  </si>
  <si>
    <t>P004</t>
  </si>
  <si>
    <t>Hamza Shah</t>
  </si>
  <si>
    <t>Neurology</t>
  </si>
  <si>
    <t>Stroke</t>
  </si>
  <si>
    <t>P005</t>
  </si>
  <si>
    <t>Noor Fatima</t>
  </si>
  <si>
    <t>Arrhythmia</t>
  </si>
  <si>
    <t>P006</t>
  </si>
  <si>
    <t>Omar Farooq</t>
  </si>
  <si>
    <t>Arthritis</t>
  </si>
  <si>
    <t>P007</t>
  </si>
  <si>
    <t>Zoya Iqbal</t>
  </si>
  <si>
    <t>Pregnancy</t>
  </si>
  <si>
    <t>P008</t>
  </si>
  <si>
    <t>Danish Khan</t>
  </si>
  <si>
    <t>Migraine</t>
  </si>
  <si>
    <t>P009</t>
  </si>
  <si>
    <t>Mahnoor Ali</t>
  </si>
  <si>
    <t>Heart Disease</t>
  </si>
  <si>
    <t>P010</t>
  </si>
  <si>
    <t>Laiba Noor</t>
  </si>
  <si>
    <t>Sprain</t>
  </si>
  <si>
    <t>Recovery Score</t>
  </si>
  <si>
    <t>Category</t>
  </si>
  <si>
    <t>High Risk</t>
  </si>
  <si>
    <t>Formula</t>
  </si>
  <si>
    <t>Average Recovery Score</t>
  </si>
  <si>
    <t>Lowest Recovery Score</t>
  </si>
  <si>
    <t xml:space="preserve">Label </t>
  </si>
  <si>
    <t>Total Lab Test</t>
  </si>
  <si>
    <t>Average Day Admitted</t>
  </si>
  <si>
    <t>Highest Recovery  Score</t>
  </si>
  <si>
    <t>Department wise Average Recovery Score</t>
  </si>
  <si>
    <t xml:space="preserve">Department </t>
  </si>
  <si>
    <t>Average Recovery</t>
  </si>
  <si>
    <t>Chart1:</t>
  </si>
  <si>
    <t>Average Days</t>
  </si>
  <si>
    <t xml:space="preserve">Cardiology </t>
  </si>
  <si>
    <t>OrthopedicS</t>
  </si>
  <si>
    <t>Chart2:</t>
  </si>
  <si>
    <t>Row Labels</t>
  </si>
  <si>
    <t>Grand Total</t>
  </si>
  <si>
    <t>Sum of Recovery Score</t>
  </si>
  <si>
    <t>Sum of Lab Tests Done</t>
  </si>
  <si>
    <t>Sum of Days 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</si>
</sst>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Average Recovery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Sheet1!$Q$4:$Q$7</c:f>
              <c:strCache>
                <c:ptCount val="4"/>
                <c:pt idx="0">
                  <c:v>Cardiology</c:v>
                </c:pt>
                <c:pt idx="1">
                  <c:v>OrthopedicS</c:v>
                </c:pt>
                <c:pt idx="2">
                  <c:v>Gynecology</c:v>
                </c:pt>
                <c:pt idx="3">
                  <c:v>Neurology</c:v>
                </c:pt>
              </c:strCache>
            </c:strRef>
          </c:cat>
          <c:val>
            <c:numRef>
              <c:f>Sheet1!$R$4:$R$7</c:f>
              <c:numCache>
                <c:formatCode>General</c:formatCode>
                <c:ptCount val="4"/>
                <c:pt idx="0">
                  <c:v>67.5</c:v>
                </c:pt>
                <c:pt idx="1">
                  <c:v>58.94444444444445</c:v>
                </c:pt>
                <c:pt idx="2">
                  <c:v>60.416666666666664</c:v>
                </c:pt>
                <c:pt idx="3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9-4D36-9ED3-D00305B8F8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996360"/>
        <c:axId val="756995640"/>
      </c:barChart>
      <c:catAx>
        <c:axId val="75699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95640"/>
        <c:crosses val="autoZero"/>
        <c:auto val="1"/>
        <c:lblAlgn val="ctr"/>
        <c:lblOffset val="100"/>
        <c:noMultiLvlLbl val="0"/>
      </c:catAx>
      <c:valAx>
        <c:axId val="75699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9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92038495188095E-2"/>
          <c:y val="0.16187554680664915"/>
          <c:w val="0.91564129483814527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Average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Sheet1!$T$4:$T$7</c:f>
              <c:strCache>
                <c:ptCount val="4"/>
                <c:pt idx="0">
                  <c:v>Cardiology </c:v>
                </c:pt>
                <c:pt idx="1">
                  <c:v>Orthopedics</c:v>
                </c:pt>
                <c:pt idx="2">
                  <c:v>Gynecology</c:v>
                </c:pt>
                <c:pt idx="3">
                  <c:v>Neurology</c:v>
                </c:pt>
              </c:strCache>
            </c:strRef>
          </c:cat>
          <c:val>
            <c:numRef>
              <c:f>Sheet1!$U$4:$U$7</c:f>
              <c:numCache>
                <c:formatCode>General</c:formatCode>
                <c:ptCount val="4"/>
                <c:pt idx="0">
                  <c:v>5.67</c:v>
                </c:pt>
                <c:pt idx="1">
                  <c:v>6.33</c:v>
                </c:pt>
                <c:pt idx="2">
                  <c:v>2.5</c:v>
                </c:pt>
                <c:pt idx="3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3-4FFB-9CB7-6EB08509DA16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Average Recovery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Sheet1!$T$4:$T$7</c:f>
              <c:strCache>
                <c:ptCount val="4"/>
                <c:pt idx="0">
                  <c:v>Cardiology </c:v>
                </c:pt>
                <c:pt idx="1">
                  <c:v>Orthopedics</c:v>
                </c:pt>
                <c:pt idx="2">
                  <c:v>Gynecology</c:v>
                </c:pt>
                <c:pt idx="3">
                  <c:v>Neurology</c:v>
                </c:pt>
              </c:strCache>
            </c:strRef>
          </c:cat>
          <c:val>
            <c:numRef>
              <c:f>Sheet1!$V$4:$V$7</c:f>
              <c:numCache>
                <c:formatCode>General</c:formatCode>
                <c:ptCount val="4"/>
                <c:pt idx="0">
                  <c:v>5.666666666666667</c:v>
                </c:pt>
                <c:pt idx="1">
                  <c:v>6.333333333333333</c:v>
                </c:pt>
                <c:pt idx="2">
                  <c:v>2.5</c:v>
                </c:pt>
                <c:pt idx="3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3-4FFB-9CB7-6EB08509D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421880"/>
        <c:axId val="605424760"/>
      </c:barChart>
      <c:catAx>
        <c:axId val="60542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24760"/>
        <c:crosses val="autoZero"/>
        <c:auto val="1"/>
        <c:lblAlgn val="ctr"/>
        <c:lblOffset val="100"/>
        <c:noMultiLvlLbl val="0"/>
      </c:catAx>
      <c:valAx>
        <c:axId val="60542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2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74839</xdr:colOff>
      <xdr:row>18</xdr:row>
      <xdr:rowOff>70758</xdr:rowOff>
    </xdr:from>
    <xdr:to>
      <xdr:col>5</xdr:col>
      <xdr:colOff>292553</xdr:colOff>
      <xdr:row>33</xdr:row>
      <xdr:rowOff>160565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C9B2A-DF73-400C-B1AA-80BEB8213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34018</xdr:colOff>
      <xdr:row>18</xdr:row>
      <xdr:rowOff>97972</xdr:rowOff>
    </xdr:from>
    <xdr:to>
      <xdr:col>11</xdr:col>
      <xdr:colOff>251732</xdr:colOff>
      <xdr:row>34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89B9B-B54D-CB17-2DFF-6279C4E2D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 PRECision 7550" refreshedDate="46002.561023032409" backgroundQuery="1" createdVersion="8" refreshedVersion="8" minRefreshableVersion="3" recordCount="0" supportSubquery="1" supportAdvancedDrill="1" xr:uid="{970264FB-672E-4402-94FF-A09A1B989F38}">
  <cacheSource type="external" connectionId="1"/>
  <cacheFields count="4">
    <cacheField name="[Range].[Department].[Department]" caption="Department" numFmtId="0" hierarchy="3" level="1">
      <sharedItems count="4">
        <s v="Cardiology"/>
        <s v="Gynecology"/>
        <s v="Neurology"/>
        <s v="Orthopedics"/>
      </sharedItems>
    </cacheField>
    <cacheField name="[Measures].[Sum of Recovery Score]" caption="Sum of Recovery Score" numFmtId="0" hierarchy="15" level="32767"/>
    <cacheField name="[Measures].[Sum of Lab Tests Done]" caption="Sum of Lab Tests Done" numFmtId="0" hierarchy="16" level="32767"/>
    <cacheField name="[Measures].[Sum of Days Admitted]" caption="Sum of Days Admitted" numFmtId="0" hierarchy="17" level="32767"/>
  </cacheFields>
  <cacheHierarchies count="18"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agnosis]" caption="Diagnosis" attribute="1" defaultMemberUniqueName="[Range].[Diagnosis].[All]" allUniqueName="[Range].[Diagnosis].[All]" dimensionUniqueName="[Range]" displayFolder="" count="0" memberValueDatatype="130" unbalanced="0"/>
    <cacheHierarchy uniqueName="[Range].[Treatment Score]" caption="Treatment Score" attribute="1" defaultMemberUniqueName="[Range].[Treatment Score].[All]" allUniqueName="[Range].[Treatment Score].[All]" dimensionUniqueName="[Range]" displayFolder="" count="0" memberValueDatatype="20" unbalanced="0"/>
    <cacheHierarchy uniqueName="[Range].[Days Admitted]" caption="Days Admitted" attribute="1" defaultMemberUniqueName="[Range].[Days Admitted].[All]" allUniqueName="[Range].[Days Admitted].[All]" dimensionUniqueName="[Range]" displayFolder="" count="0" memberValueDatatype="20" unbalanced="0"/>
    <cacheHierarchy uniqueName="[Range].[Lab Tests Done]" caption="Lab Tests Done" attribute="1" defaultMemberUniqueName="[Range].[Lab Tests Done].[All]" allUniqueName="[Range].[Lab Tests Done].[All]" dimensionUniqueName="[Range]" displayFolder="" count="0" memberValueDatatype="20" unbalanced="0"/>
    <cacheHierarchy uniqueName="[Range].[Doctor Consults]" caption="Doctor Consults" attribute="1" defaultMemberUniqueName="[Range].[Doctor Consults].[All]" allUniqueName="[Range].[Doctor Consults].[All]" dimensionUniqueName="[Range]" displayFolder="" count="0" memberValueDatatype="20" unbalanced="0"/>
    <cacheHierarchy uniqueName="[Range].[Follow-up Visits]" caption="Follow-up Visits" attribute="1" defaultMemberUniqueName="[Range].[Follow-up Visits].[All]" allUniqueName="[Range].[Follow-up Visits].[All]" dimensionUniqueName="[Range]" displayFolder="" count="0" memberValueDatatype="20" unbalanced="0"/>
    <cacheHierarchy uniqueName="[Range].[Recovery Score]" caption="Recovery Score" attribute="1" defaultMemberUniqueName="[Range].[Recovery Score].[All]" allUniqueName="[Range].[Recovery Score].[All]" dimensionUniqueName="[Range]" displayFolder="" count="0" memberValueDatatype="5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High Risk]" caption="High Risk" attribute="1" defaultMemberUniqueName="[Range].[High Risk].[All]" allUniqueName="[Range].[High Risk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covery Score]" caption="Sum of Recovery 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Lab Tests Done]" caption="Sum of Lab Tests Don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ays Admitted]" caption="Sum of Days Admitte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C3209-BC0D-425F-BBEF-51D64ED6B875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covery Score" fld="1" baseField="0" baseItem="0"/>
    <dataField name="Sum of Lab Tests Done" fld="2" baseField="0" baseItem="0"/>
    <dataField name="Sum of Days Admitted" fld="3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3:$M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881E-04A3-4C65-9DB8-28C3A676E33E}">
  <dimension ref="A1:V18"/>
  <sheetViews>
    <sheetView zoomScale="48" workbookViewId="0">
      <selection activeCell="AE12" sqref="AE12"/>
    </sheetView>
  </sheetViews>
  <sheetFormatPr defaultRowHeight="14.4" x14ac:dyDescent="0.3"/>
  <cols>
    <col min="1" max="11" width="12.77734375" customWidth="1"/>
    <col min="12" max="13" width="14.77734375" customWidth="1"/>
    <col min="14" max="14" width="26.77734375" customWidth="1"/>
    <col min="15" max="15" width="14.77734375" customWidth="1"/>
    <col min="17" max="18" width="14.77734375" customWidth="1"/>
    <col min="20" max="21" width="15.77734375" customWidth="1"/>
    <col min="22" max="22" width="16.77734375" customWidth="1"/>
  </cols>
  <sheetData>
    <row r="1" spans="1:2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2" ht="31.95" customHeight="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6" t="s">
        <v>10</v>
      </c>
      <c r="K3" s="8" t="s">
        <v>45</v>
      </c>
      <c r="L3" s="8" t="s">
        <v>46</v>
      </c>
      <c r="M3" s="8" t="s">
        <v>47</v>
      </c>
      <c r="N3" s="8" t="s">
        <v>51</v>
      </c>
      <c r="O3" s="8" t="s">
        <v>48</v>
      </c>
      <c r="Q3" s="8" t="s">
        <v>56</v>
      </c>
      <c r="R3" s="8" t="s">
        <v>57</v>
      </c>
      <c r="T3" s="13" t="s">
        <v>56</v>
      </c>
      <c r="U3" s="13" t="s">
        <v>59</v>
      </c>
      <c r="V3" s="13" t="s">
        <v>57</v>
      </c>
    </row>
    <row r="4" spans="1:22" ht="31.95" customHeight="1" thickBot="1" x14ac:dyDescent="0.35">
      <c r="A4" s="4" t="s">
        <v>11</v>
      </c>
      <c r="B4" s="4" t="s">
        <v>12</v>
      </c>
      <c r="C4" s="5">
        <v>35</v>
      </c>
      <c r="D4" s="4" t="s">
        <v>13</v>
      </c>
      <c r="E4" s="4" t="s">
        <v>14</v>
      </c>
      <c r="F4" s="5">
        <v>85</v>
      </c>
      <c r="G4" s="5">
        <v>5</v>
      </c>
      <c r="H4" s="5">
        <v>3</v>
      </c>
      <c r="I4" s="5">
        <v>2</v>
      </c>
      <c r="J4" s="7">
        <v>1</v>
      </c>
      <c r="K4" s="10">
        <f>F4*0.5 + (H4/MAX($H$4:$H$13)*100)*0.1 + (I4/MAX($I$4:$I$13)*100)*0.2 + (J4/MAX($J$4:$J$13)*100)*0.2</f>
        <v>64.166666666666671</v>
      </c>
      <c r="L4" s="9" t="str">
        <f>IF(K4&gt;=85,"Excellent",IF(K4&gt;=70,"Good","Needs Attention"))</f>
        <v>Needs Attention</v>
      </c>
      <c r="M4" s="9" t="str">
        <f>IF(OR(G4&gt;7,K4&lt;60),"HIGH RISK","")</f>
        <v/>
      </c>
      <c r="N4" s="9" t="s">
        <v>49</v>
      </c>
      <c r="O4" s="9">
        <f>AVERAGE(K4:K13)</f>
        <v>62.516666666666673</v>
      </c>
      <c r="Q4" s="9" t="s">
        <v>13</v>
      </c>
      <c r="R4" s="9">
        <f>AVERAGEIF($D$4:$D$13,"Cardiology",$K$4:$K$13)</f>
        <v>67.5</v>
      </c>
      <c r="T4" s="9" t="s">
        <v>60</v>
      </c>
      <c r="U4" s="9">
        <v>5.67</v>
      </c>
      <c r="V4" s="9">
        <f>AVERAGEIF($D$4:$D$13,"Cardiology",$G$4:$G$13)</f>
        <v>5.666666666666667</v>
      </c>
    </row>
    <row r="5" spans="1:22" ht="31.95" customHeight="1" thickBot="1" x14ac:dyDescent="0.35">
      <c r="A5" s="4" t="s">
        <v>15</v>
      </c>
      <c r="B5" s="4" t="s">
        <v>16</v>
      </c>
      <c r="C5" s="5">
        <v>50</v>
      </c>
      <c r="D5" s="4" t="s">
        <v>17</v>
      </c>
      <c r="E5" s="4" t="s">
        <v>18</v>
      </c>
      <c r="F5" s="5">
        <v>70</v>
      </c>
      <c r="G5" s="5">
        <v>8</v>
      </c>
      <c r="H5" s="5">
        <v>5</v>
      </c>
      <c r="I5" s="5">
        <v>3</v>
      </c>
      <c r="J5" s="7">
        <v>2</v>
      </c>
      <c r="K5" s="10">
        <f t="shared" ref="K5:K13" si="0">F5*0.5 + (H5/MAX($H$4:$H$13))*10 + (I5/MAX($I$4:$I$13))*20 + (J5/MAX($J$4:$J$13))*20</f>
        <v>71.666666666666671</v>
      </c>
      <c r="L5" s="9" t="str">
        <f t="shared" ref="L5:L13" si="1">IF(K5&gt;=85,"Excellent",IF(K5&gt;=70,"Good","Needs Attention"))</f>
        <v>Good</v>
      </c>
      <c r="M5" s="9" t="str">
        <f t="shared" ref="M5:M13" si="2">IF(OR(G5&gt;7,K5&lt;60),"HIGH RISK","")</f>
        <v>HIGH RISK</v>
      </c>
      <c r="N5" s="9"/>
      <c r="O5" s="9"/>
      <c r="Q5" s="9" t="s">
        <v>61</v>
      </c>
      <c r="R5" s="9">
        <f>AVERAGEIF($D$4:$D$13,"Orthopedics",$K$4:$K$13)</f>
        <v>58.94444444444445</v>
      </c>
      <c r="T5" s="9" t="s">
        <v>17</v>
      </c>
      <c r="U5" s="9">
        <v>6.33</v>
      </c>
      <c r="V5" s="9">
        <f>AVERAGEIF($D$4:$D$13,"Orthopedics",$G$4:$G$13)</f>
        <v>6.333333333333333</v>
      </c>
    </row>
    <row r="6" spans="1:22" ht="31.95" customHeight="1" thickBot="1" x14ac:dyDescent="0.35">
      <c r="A6" s="4" t="s">
        <v>19</v>
      </c>
      <c r="B6" s="4" t="s">
        <v>20</v>
      </c>
      <c r="C6" s="5">
        <v>28</v>
      </c>
      <c r="D6" s="4" t="s">
        <v>21</v>
      </c>
      <c r="E6" s="4" t="s">
        <v>22</v>
      </c>
      <c r="F6" s="5">
        <v>90</v>
      </c>
      <c r="G6" s="5">
        <v>3</v>
      </c>
      <c r="H6" s="5">
        <v>2</v>
      </c>
      <c r="I6" s="5">
        <v>1</v>
      </c>
      <c r="J6" s="7">
        <v>1</v>
      </c>
      <c r="K6" s="10">
        <f t="shared" si="0"/>
        <v>60</v>
      </c>
      <c r="L6" s="9" t="str">
        <f t="shared" si="1"/>
        <v>Needs Attention</v>
      </c>
      <c r="M6" s="9" t="str">
        <f t="shared" si="2"/>
        <v/>
      </c>
      <c r="N6" s="9" t="s">
        <v>52</v>
      </c>
      <c r="O6" s="10">
        <f>SUM(H4:H13)</f>
        <v>31</v>
      </c>
      <c r="Q6" s="9" t="s">
        <v>21</v>
      </c>
      <c r="R6" s="9">
        <f>AVERAGEIF($D$4:$D$13,"Gynecology",$K$4:$K$13)</f>
        <v>60.416666666666664</v>
      </c>
      <c r="T6" s="9" t="s">
        <v>21</v>
      </c>
      <c r="U6" s="9">
        <v>2.5</v>
      </c>
      <c r="V6" s="9">
        <f>AVERAGEIF($D$4:$D$13,"Gynecology",$G$4:$G$13)</f>
        <v>2.5</v>
      </c>
    </row>
    <row r="7" spans="1:22" ht="31.95" customHeight="1" thickBot="1" x14ac:dyDescent="0.35">
      <c r="A7" s="4" t="s">
        <v>23</v>
      </c>
      <c r="B7" s="4" t="s">
        <v>24</v>
      </c>
      <c r="C7" s="5">
        <v>60</v>
      </c>
      <c r="D7" s="4" t="s">
        <v>25</v>
      </c>
      <c r="E7" s="4" t="s">
        <v>26</v>
      </c>
      <c r="F7" s="5">
        <v>50</v>
      </c>
      <c r="G7" s="5">
        <v>10</v>
      </c>
      <c r="H7" s="5">
        <v>6</v>
      </c>
      <c r="I7" s="5">
        <v>4</v>
      </c>
      <c r="J7" s="7">
        <v>3</v>
      </c>
      <c r="K7" s="10">
        <f t="shared" si="0"/>
        <v>75</v>
      </c>
      <c r="L7" s="9" t="str">
        <f t="shared" si="1"/>
        <v>Good</v>
      </c>
      <c r="M7" s="9" t="str">
        <f t="shared" si="2"/>
        <v>HIGH RISK</v>
      </c>
      <c r="N7" s="9"/>
      <c r="O7" s="9"/>
      <c r="Q7" s="9" t="s">
        <v>25</v>
      </c>
      <c r="R7" s="9">
        <f>AVERAGEIF($D$4:$D$13,"neurology",$K$4:$K$13)</f>
        <v>62.5</v>
      </c>
      <c r="T7" s="9" t="s">
        <v>25</v>
      </c>
      <c r="U7" s="9">
        <v>7.5</v>
      </c>
      <c r="V7" s="9">
        <f>AVERAGEIF($D$4:$D$13,"Neurology",$G$4:$G$13)</f>
        <v>7.5</v>
      </c>
    </row>
    <row r="8" spans="1:22" ht="31.95" customHeight="1" thickBot="1" x14ac:dyDescent="0.35">
      <c r="A8" s="4" t="s">
        <v>27</v>
      </c>
      <c r="B8" s="4" t="s">
        <v>28</v>
      </c>
      <c r="C8" s="5">
        <v>40</v>
      </c>
      <c r="D8" s="4" t="s">
        <v>13</v>
      </c>
      <c r="E8" s="4" t="s">
        <v>29</v>
      </c>
      <c r="F8" s="5">
        <v>78</v>
      </c>
      <c r="G8" s="5">
        <v>6</v>
      </c>
      <c r="H8" s="5">
        <v>4</v>
      </c>
      <c r="I8" s="5">
        <v>2</v>
      </c>
      <c r="J8" s="7">
        <v>2</v>
      </c>
      <c r="K8" s="10">
        <f t="shared" si="0"/>
        <v>69</v>
      </c>
      <c r="L8" s="9" t="str">
        <f t="shared" si="1"/>
        <v>Needs Attention</v>
      </c>
      <c r="M8" s="9" t="str">
        <f t="shared" si="2"/>
        <v/>
      </c>
      <c r="N8" s="9" t="s">
        <v>53</v>
      </c>
      <c r="O8" s="10">
        <f>AVERAGE(G4:G13)</f>
        <v>5.6</v>
      </c>
    </row>
    <row r="9" spans="1:22" ht="31.95" customHeight="1" thickBot="1" x14ac:dyDescent="0.35">
      <c r="A9" s="4" t="s">
        <v>30</v>
      </c>
      <c r="B9" s="4" t="s">
        <v>31</v>
      </c>
      <c r="C9" s="5">
        <v>45</v>
      </c>
      <c r="D9" s="4" t="s">
        <v>17</v>
      </c>
      <c r="E9" s="4" t="s">
        <v>32</v>
      </c>
      <c r="F9" s="5">
        <v>65</v>
      </c>
      <c r="G9" s="5">
        <v>7</v>
      </c>
      <c r="H9" s="5">
        <v>3</v>
      </c>
      <c r="I9" s="5">
        <v>2</v>
      </c>
      <c r="J9" s="7">
        <v>1</v>
      </c>
      <c r="K9" s="10">
        <f t="shared" si="0"/>
        <v>54.166666666666664</v>
      </c>
      <c r="L9" s="9" t="str">
        <f t="shared" si="1"/>
        <v>Needs Attention</v>
      </c>
      <c r="M9" s="9" t="str">
        <f t="shared" si="2"/>
        <v>HIGH RISK</v>
      </c>
      <c r="N9" s="9"/>
      <c r="O9" s="9"/>
    </row>
    <row r="10" spans="1:22" ht="31.95" customHeight="1" thickBot="1" x14ac:dyDescent="0.35">
      <c r="A10" s="4" t="s">
        <v>33</v>
      </c>
      <c r="B10" s="4" t="s">
        <v>34</v>
      </c>
      <c r="C10" s="5">
        <v>32</v>
      </c>
      <c r="D10" s="4" t="s">
        <v>21</v>
      </c>
      <c r="E10" s="4" t="s">
        <v>35</v>
      </c>
      <c r="F10" s="5">
        <v>95</v>
      </c>
      <c r="G10" s="5">
        <v>2</v>
      </c>
      <c r="H10" s="5">
        <v>1</v>
      </c>
      <c r="I10" s="5">
        <v>1</v>
      </c>
      <c r="J10" s="7">
        <v>1</v>
      </c>
      <c r="K10" s="10">
        <f t="shared" si="0"/>
        <v>60.833333333333329</v>
      </c>
      <c r="L10" s="9" t="str">
        <f t="shared" si="1"/>
        <v>Needs Attention</v>
      </c>
      <c r="M10" s="9" t="str">
        <f t="shared" si="2"/>
        <v/>
      </c>
      <c r="N10" s="9" t="s">
        <v>54</v>
      </c>
      <c r="O10" s="10">
        <f>MAX(K4:K13)</f>
        <v>75</v>
      </c>
    </row>
    <row r="11" spans="1:22" ht="31.95" customHeight="1" thickBot="1" x14ac:dyDescent="0.35">
      <c r="A11" s="4" t="s">
        <v>36</v>
      </c>
      <c r="B11" s="4" t="s">
        <v>37</v>
      </c>
      <c r="C11" s="5">
        <v>55</v>
      </c>
      <c r="D11" s="4" t="s">
        <v>25</v>
      </c>
      <c r="E11" s="4" t="s">
        <v>38</v>
      </c>
      <c r="F11" s="5">
        <v>60</v>
      </c>
      <c r="G11" s="5">
        <v>5</v>
      </c>
      <c r="H11" s="5">
        <v>2</v>
      </c>
      <c r="I11" s="5">
        <v>2</v>
      </c>
      <c r="J11" s="7">
        <v>1</v>
      </c>
      <c r="K11" s="10">
        <f t="shared" si="0"/>
        <v>50</v>
      </c>
      <c r="L11" s="9" t="str">
        <f t="shared" si="1"/>
        <v>Needs Attention</v>
      </c>
      <c r="M11" s="9" t="str">
        <f t="shared" si="2"/>
        <v>HIGH RISK</v>
      </c>
      <c r="N11" s="9"/>
      <c r="O11" s="9"/>
    </row>
    <row r="12" spans="1:22" ht="31.95" customHeight="1" thickBot="1" x14ac:dyDescent="0.35">
      <c r="A12" s="4" t="s">
        <v>39</v>
      </c>
      <c r="B12" s="4" t="s">
        <v>40</v>
      </c>
      <c r="C12" s="5">
        <v>38</v>
      </c>
      <c r="D12" s="4" t="s">
        <v>13</v>
      </c>
      <c r="E12" s="4" t="s">
        <v>41</v>
      </c>
      <c r="F12" s="5">
        <v>82</v>
      </c>
      <c r="G12" s="5">
        <v>6</v>
      </c>
      <c r="H12" s="5">
        <v>3</v>
      </c>
      <c r="I12" s="5">
        <v>2</v>
      </c>
      <c r="J12" s="7">
        <v>2</v>
      </c>
      <c r="K12" s="10">
        <f t="shared" si="0"/>
        <v>69.333333333333329</v>
      </c>
      <c r="L12" s="9" t="str">
        <f t="shared" si="1"/>
        <v>Needs Attention</v>
      </c>
      <c r="M12" s="9" t="str">
        <f t="shared" si="2"/>
        <v/>
      </c>
      <c r="N12" s="9" t="s">
        <v>50</v>
      </c>
      <c r="O12" s="10">
        <f>MIN(K4:K13)</f>
        <v>50</v>
      </c>
    </row>
    <row r="13" spans="1:22" ht="31.95" customHeight="1" thickBot="1" x14ac:dyDescent="0.35">
      <c r="A13" s="4" t="s">
        <v>42</v>
      </c>
      <c r="B13" s="4" t="s">
        <v>43</v>
      </c>
      <c r="C13" s="5">
        <v>30</v>
      </c>
      <c r="D13" s="4" t="s">
        <v>17</v>
      </c>
      <c r="E13" s="4" t="s">
        <v>44</v>
      </c>
      <c r="F13" s="5">
        <v>72</v>
      </c>
      <c r="G13" s="5">
        <v>4</v>
      </c>
      <c r="H13" s="5">
        <v>2</v>
      </c>
      <c r="I13" s="5">
        <v>1</v>
      </c>
      <c r="J13" s="7">
        <v>1</v>
      </c>
      <c r="K13" s="10">
        <f t="shared" si="0"/>
        <v>51</v>
      </c>
      <c r="L13" s="9" t="str">
        <f t="shared" si="1"/>
        <v>Needs Attention</v>
      </c>
      <c r="M13" s="9" t="str">
        <f t="shared" si="2"/>
        <v>HIGH RISK</v>
      </c>
      <c r="N13" s="9"/>
      <c r="O13" s="9"/>
    </row>
    <row r="16" spans="1:22" x14ac:dyDescent="0.3">
      <c r="A16" s="1" t="s">
        <v>55</v>
      </c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1" t="s">
        <v>58</v>
      </c>
      <c r="B18" s="11"/>
      <c r="C18" s="11"/>
      <c r="G18" s="12" t="s">
        <v>62</v>
      </c>
      <c r="H18" s="12"/>
      <c r="I18" s="12"/>
    </row>
  </sheetData>
  <mergeCells count="4">
    <mergeCell ref="A1:R2"/>
    <mergeCell ref="A16:I17"/>
    <mergeCell ref="A18:C18"/>
    <mergeCell ref="G18:I18"/>
  </mergeCells>
  <conditionalFormatting sqref="K4:K13">
    <cfRule type="cellIs" priority="8" operator="lessThan">
      <formula>60</formula>
    </cfRule>
    <cfRule type="colorScale" priority="7">
      <colorScale>
        <cfvo type="min"/>
        <cfvo type="max"/>
        <color rgb="FFC00000"/>
        <color rgb="FFFF0000"/>
      </colorScale>
    </cfRule>
    <cfRule type="colorScale" priority="6">
      <colorScale>
        <cfvo type="min"/>
        <cfvo type="max"/>
        <color theme="3" tint="0.89999084444715716"/>
        <color rgb="FFFFEF9C"/>
      </colorScale>
    </cfRule>
    <cfRule type="colorScale" priority="3">
      <colorScale>
        <cfvo type="min"/>
        <cfvo type="max"/>
        <color theme="3" tint="0.89999084444715716"/>
        <color theme="3" tint="0.499984740745262"/>
      </colorScale>
    </cfRule>
  </conditionalFormatting>
  <conditionalFormatting sqref="A4:M13">
    <cfRule type="expression" priority="5">
      <formula>$M4="HIGH RISK"</formula>
    </cfRule>
    <cfRule type="colorScale" priority="4">
      <colorScale>
        <cfvo type="min"/>
        <cfvo type="max"/>
        <color theme="6" tint="0.79998168889431442"/>
        <color theme="6" tint="-0.249977111117893"/>
      </colorScale>
    </cfRule>
  </conditionalFormatting>
  <conditionalFormatting sqref="I4:I13">
    <cfRule type="cellIs" priority="2" operator="equal">
      <formula>0</formula>
    </cfRule>
    <cfRule type="colorScale" priority="1">
      <colorScale>
        <cfvo type="min"/>
        <cfvo type="max"/>
        <color theme="5"/>
        <color rgb="FFFFEF9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53BF-C163-4CDF-95A3-5521E0111F8E}">
  <dimension ref="A3:D8"/>
  <sheetViews>
    <sheetView tabSelected="1"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9.88671875" bestFit="1" customWidth="1"/>
    <col min="3" max="4" width="19.44140625" bestFit="1" customWidth="1"/>
  </cols>
  <sheetData>
    <row r="3" spans="1:4" x14ac:dyDescent="0.3">
      <c r="A3" s="14" t="s">
        <v>63</v>
      </c>
      <c r="B3" t="s">
        <v>65</v>
      </c>
      <c r="C3" t="s">
        <v>66</v>
      </c>
      <c r="D3" t="s">
        <v>67</v>
      </c>
    </row>
    <row r="4" spans="1:4" x14ac:dyDescent="0.3">
      <c r="A4" s="15" t="s">
        <v>13</v>
      </c>
      <c r="B4" s="16">
        <v>202.5</v>
      </c>
      <c r="C4" s="16">
        <v>10</v>
      </c>
      <c r="D4" s="16">
        <v>17</v>
      </c>
    </row>
    <row r="5" spans="1:4" x14ac:dyDescent="0.3">
      <c r="A5" s="15" t="s">
        <v>21</v>
      </c>
      <c r="B5" s="16">
        <v>120.83333333333333</v>
      </c>
      <c r="C5" s="16">
        <v>3</v>
      </c>
      <c r="D5" s="16">
        <v>5</v>
      </c>
    </row>
    <row r="6" spans="1:4" x14ac:dyDescent="0.3">
      <c r="A6" s="15" t="s">
        <v>25</v>
      </c>
      <c r="B6" s="16">
        <v>125</v>
      </c>
      <c r="C6" s="16">
        <v>8</v>
      </c>
      <c r="D6" s="16">
        <v>15</v>
      </c>
    </row>
    <row r="7" spans="1:4" x14ac:dyDescent="0.3">
      <c r="A7" s="15" t="s">
        <v>17</v>
      </c>
      <c r="B7" s="16">
        <v>176.83333333333334</v>
      </c>
      <c r="C7" s="16">
        <v>10</v>
      </c>
      <c r="D7" s="16">
        <v>19</v>
      </c>
    </row>
    <row r="8" spans="1:4" x14ac:dyDescent="0.3">
      <c r="A8" s="15" t="s">
        <v>64</v>
      </c>
      <c r="B8" s="16">
        <v>625.16666666666674</v>
      </c>
      <c r="C8" s="16">
        <v>31</v>
      </c>
      <c r="D8" s="16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E31E7A583BC42BAC2B0A64A40952C" ma:contentTypeVersion="11" ma:contentTypeDescription="Create a new document." ma:contentTypeScope="" ma:versionID="3a6df8bb64778c517e9a4d64a4d5b39e">
  <xsd:schema xmlns:xsd="http://www.w3.org/2001/XMLSchema" xmlns:xs="http://www.w3.org/2001/XMLSchema" xmlns:p="http://schemas.microsoft.com/office/2006/metadata/properties" xmlns:ns2="ab6a436c-d32b-46a9-9d9a-bad860e68cd1" xmlns:ns3="bc14b067-dfcc-46d9-a704-c1020d4d5984" targetNamespace="http://schemas.microsoft.com/office/2006/metadata/properties" ma:root="true" ma:fieldsID="c18dd8de0fa400aff2cca5373f2dc75b" ns2:_="" ns3:_="">
    <xsd:import namespace="ab6a436c-d32b-46a9-9d9a-bad860e68cd1"/>
    <xsd:import namespace="bc14b067-dfcc-46d9-a704-c1020d4d598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a436c-d32b-46a9-9d9a-bad860e68cd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982d53a-bb51-487e-8db8-b606b23a34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4b067-dfcc-46d9-a704-c1020d4d59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f0ea36b-0585-49e1-afae-f1d801aac40e}" ma:internalName="TaxCatchAll" ma:showField="CatchAllData" ma:web="bc14b067-dfcc-46d9-a704-c1020d4d59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6a436c-d32b-46a9-9d9a-bad860e68cd1">
      <Terms xmlns="http://schemas.microsoft.com/office/infopath/2007/PartnerControls"/>
    </lcf76f155ced4ddcb4097134ff3c332f>
    <ReferenceId xmlns="ab6a436c-d32b-46a9-9d9a-bad860e68cd1" xsi:nil="true"/>
    <TaxCatchAll xmlns="bc14b067-dfcc-46d9-a704-c1020d4d5984" xsi:nil="true"/>
  </documentManagement>
</p:properties>
</file>

<file path=customXml/itemProps1.xml><?xml version="1.0" encoding="utf-8"?>
<ds:datastoreItem xmlns:ds="http://schemas.openxmlformats.org/officeDocument/2006/customXml" ds:itemID="{AEEAEADB-9605-4E2A-A8FA-3FE3D326E62D}"/>
</file>

<file path=customXml/itemProps2.xml><?xml version="1.0" encoding="utf-8"?>
<ds:datastoreItem xmlns:ds="http://schemas.openxmlformats.org/officeDocument/2006/customXml" ds:itemID="{ED774286-0240-40C9-98F5-2E5AC4444CD4}"/>
</file>

<file path=customXml/itemProps3.xml><?xml version="1.0" encoding="utf-8"?>
<ds:datastoreItem xmlns:ds="http://schemas.openxmlformats.org/officeDocument/2006/customXml" ds:itemID="{B59F6A02-EBF4-488C-9CF4-E56FCB2D6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Eshal Ayub</dc:creator>
  <cp:lastModifiedBy>Eshal Ayub</cp:lastModifiedBy>
  <dcterms:created xsi:type="dcterms:W3CDTF">2025-12-11T07:06:38Z</dcterms:created>
  <dcterms:modified xsi:type="dcterms:W3CDTF">2025-12-11T08:40:41Z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0x010100178E31E7A583BC42BAC2B0A64A40952C</vt:lpwstr>
  </property>
</Properties>
</file>